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" sheetId="1" state="visible" r:id="rId1"/>
    <sheet name="Participants" sheetId="2" state="visible" r:id="rId2"/>
    <sheet name="Login" sheetId="3" state="visible" r:id="rId3"/>
    <sheet name="PersonalScoreLog" sheetId="4" state="visible" r:id="rId4"/>
    <sheet name="TeamScoreLog" sheetId="5" state="visible" r:id="rId5"/>
    <sheet name="MissionChips" sheetId="6" state="visible" r:id="rId6"/>
    <sheet name="TeamLeaderboard" sheetId="7" state="visible" r:id="rId7"/>
    <sheet name="Personal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6DF2"/>
        <bgColor rgb="00F26DF2"/>
      </patternFill>
    </fill>
    <fill>
      <patternFill patternType="solid">
        <fgColor rgb="002869FB"/>
        <bgColor rgb="00286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18" customHeight="1">
      <c r="A1" s="1" t="inlineStr">
        <is>
          <t>종목</t>
        </is>
      </c>
      <c r="B1" t="inlineStr">
        <is>
          <t>돼지씨름</t>
        </is>
      </c>
      <c r="C1" t="inlineStr">
        <is>
          <t>미션레이스</t>
        </is>
      </c>
      <c r="D1" t="inlineStr">
        <is>
          <t>계주</t>
        </is>
      </c>
      <c r="E1" t="inlineStr">
        <is>
          <t>피구</t>
        </is>
      </c>
      <c r="F1" t="inlineStr">
        <is>
          <t>부리또 듀얼</t>
        </is>
      </c>
      <c r="G1" t="inlineStr">
        <is>
          <t>발야구</t>
        </is>
      </c>
      <c r="H1" t="inlineStr">
        <is>
          <t>단체줄넘기</t>
        </is>
      </c>
      <c r="I1" t="inlineStr">
        <is>
          <t>쓰레빠 양궁</t>
        </is>
      </c>
      <c r="J1" t="inlineStr">
        <is>
          <t>고깔 의자뺏기</t>
        </is>
      </c>
      <c r="K1" t="inlineStr">
        <is>
          <t>인물퀴즈</t>
        </is>
      </c>
      <c r="L1" t="inlineStr">
        <is>
          <t>음악퀴즈</t>
        </is>
      </c>
      <c r="M1" t="inlineStr">
        <is>
          <t>개인미션</t>
        </is>
      </c>
    </row>
    <row r="2" ht="18" customHeight="1">
      <c r="A2" s="1" t="inlineStr">
        <is>
          <t>아이콘</t>
        </is>
      </c>
      <c r="B2" t="inlineStr">
        <is>
          <t>🐷</t>
        </is>
      </c>
      <c r="C2" t="inlineStr">
        <is>
          <t>🎯</t>
        </is>
      </c>
      <c r="D2" t="inlineStr">
        <is>
          <t>🏃</t>
        </is>
      </c>
      <c r="E2" t="inlineStr">
        <is>
          <t>🏐</t>
        </is>
      </c>
      <c r="F2" t="inlineStr">
        <is>
          <t>🌯</t>
        </is>
      </c>
      <c r="G2" t="inlineStr">
        <is>
          <t>⚽</t>
        </is>
      </c>
      <c r="H2" t="inlineStr">
        <is>
          <t>🪢</t>
        </is>
      </c>
      <c r="I2" t="inlineStr">
        <is>
          <t>🩴</t>
        </is>
      </c>
      <c r="J2" t="inlineStr">
        <is>
          <t>🪑</t>
        </is>
      </c>
      <c r="K2" t="inlineStr">
        <is>
          <t>🧑</t>
        </is>
      </c>
      <c r="L2" t="inlineStr">
        <is>
          <t>🎵</t>
        </is>
      </c>
      <c r="M2" t="inlineStr">
        <is>
          <t>🕵️</t>
        </is>
      </c>
    </row>
    <row r="3" ht="18" customHeight="1">
      <c r="A3" s="1" t="inlineStr">
        <is>
          <t>설명</t>
        </is>
      </c>
      <c r="B3" t="inlineStr">
        <is>
          <t>모래판 위에서 펼쳐지는 몸싸움 대결!</t>
        </is>
      </c>
      <c r="C3" t="inlineStr">
        <is>
          <t>코스마다 주어지는 미션을 클리어하며 달리는 레이스 (예: 레몬 먹고 휘파람 불기, 사격으로 캔 넘어뜨리기)</t>
        </is>
      </c>
      <c r="D3" t="inlineStr">
        <is>
          <t>팀 대항 이어달리기</t>
        </is>
      </c>
      <c r="E3" t="inlineStr">
        <is>
          <t>팀 대항 피구 대결</t>
        </is>
      </c>
      <c r="F3" t="inlineStr">
        <is>
          <t>부리또처럼 몸을 돌돌 감싸고 벌이는 대결</t>
        </is>
      </c>
      <c r="G3" t="inlineStr">
        <is>
          <t>발로 하는 야구</t>
        </is>
      </c>
      <c r="H3" t="inlineStr">
        <is>
          <t>팀워크로 넘는 단체 줄넘기</t>
        </is>
      </c>
      <c r="I3" t="inlineStr">
        <is>
          <t>슬리퍼를 던져 과녁을 맞히는 양궁</t>
        </is>
      </c>
      <c r="J3" t="inlineStr">
        <is>
          <t>음악이 멈추면 고깔(의자)을 차지하라</t>
        </is>
      </c>
      <c r="K3" t="inlineStr">
        <is>
          <t>이 사람은 누구일까요? 인물 맞히기 퀴즈</t>
        </is>
      </c>
      <c r="L3" t="inlineStr">
        <is>
          <t>노래 한 소절 듣고 제목 맞히기</t>
        </is>
      </c>
      <c r="M3" t="inlineStr">
        <is>
          <t>히든미션 칩을 스캔해서 완료한 개인 미션 (점수 기록용 항목)</t>
        </is>
      </c>
    </row>
    <row r="4" ht="18" customHeight="1">
      <c r="A4" s="1" t="inlineStr">
        <is>
          <t>이름</t>
        </is>
      </c>
      <c r="B4" t="inlineStr">
        <is>
          <t>이학균</t>
        </is>
      </c>
      <c r="C4" t="inlineStr">
        <is>
          <t>김여경</t>
        </is>
      </c>
      <c r="D4" t="inlineStr">
        <is>
          <t>홍상웅</t>
        </is>
      </c>
      <c r="E4" t="inlineStr">
        <is>
          <t>최연수</t>
        </is>
      </c>
      <c r="F4" t="inlineStr">
        <is>
          <t>이재열</t>
        </is>
      </c>
      <c r="G4" t="inlineStr">
        <is>
          <t>박지원</t>
        </is>
      </c>
      <c r="H4" t="inlineStr">
        <is>
          <t>송효준</t>
        </is>
      </c>
      <c r="I4" t="inlineStr">
        <is>
          <t>전주현</t>
        </is>
      </c>
      <c r="J4" t="inlineStr">
        <is>
          <t>강이수</t>
        </is>
      </c>
      <c r="K4" t="inlineStr">
        <is>
          <t>박시안</t>
        </is>
      </c>
      <c r="L4" t="inlineStr">
        <is>
          <t>박종혁</t>
        </is>
      </c>
      <c r="M4" t="inlineStr">
        <is>
          <t>황은비</t>
        </is>
      </c>
    </row>
    <row r="6">
      <c r="A6" t="inlineStr">
        <is>
          <t>※ 종목/아이콘/설명/이름을 추가·수정할 땐 이 시트만 고치면 앱과 다른 시트 드롭다운에 자동 반영됩니다. (앱은 종목 목록 화면을 이 시트에서 직접 읽어옵니다 — js/data.js는 백엔드 연결 안 됐을 때만 쓰는 예비용입니다)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8" customWidth="1" min="5" max="5"/>
    <col width="14" customWidth="1" min="6" max="6"/>
    <col width="90" customWidth="1" min="8" max="8"/>
  </cols>
  <sheetData>
    <row r="1">
      <c r="A1" s="2" t="inlineStr">
        <is>
          <t>name</t>
        </is>
      </c>
      <c r="B1" s="2" t="inlineStr">
        <is>
          <t>gender</t>
        </is>
      </c>
      <c r="C1" s="2" t="inlineStr">
        <is>
          <t>team</t>
        </is>
      </c>
      <c r="D1" s="2" t="inlineStr">
        <is>
          <t>partner</t>
        </is>
      </c>
      <c r="E1" s="2" t="inlineStr">
        <is>
          <t>tier</t>
        </is>
      </c>
      <c r="F1" s="2" t="inlineStr">
        <is>
          <t>nemesis</t>
        </is>
      </c>
      <c r="H1" t="inlineStr">
        <is>
          <t>⚠️ tier(1~3)와 nemesis(그 사람의 라이벌)는 아직 안 채워져 있어요 — 직접 정해서 채워주세요. 히든미션 텍스트의 [티어]/[네메시스]/[파트너]가 이 값들로 치환되어 표시됩니다.</t>
        </is>
      </c>
    </row>
    <row r="2">
      <c r="A2" t="inlineStr">
        <is>
          <t>이학균</t>
        </is>
      </c>
      <c r="B2" t="inlineStr">
        <is>
          <t>남</t>
        </is>
      </c>
      <c r="C2" t="inlineStr">
        <is>
          <t>흑팀</t>
        </is>
      </c>
      <c r="D2" t="inlineStr">
        <is>
          <t>김여경</t>
        </is>
      </c>
      <c r="E2" t="inlineStr"/>
      <c r="F2" t="inlineStr"/>
    </row>
    <row r="3">
      <c r="A3" t="inlineStr">
        <is>
          <t>김여경</t>
        </is>
      </c>
      <c r="B3" t="inlineStr">
        <is>
          <t>여</t>
        </is>
      </c>
      <c r="C3" t="inlineStr">
        <is>
          <t>백팀</t>
        </is>
      </c>
      <c r="D3" t="inlineStr">
        <is>
          <t>이학균</t>
        </is>
      </c>
      <c r="E3" t="inlineStr"/>
      <c r="F3" t="inlineStr"/>
    </row>
    <row r="4">
      <c r="A4" t="inlineStr">
        <is>
          <t>홍상웅</t>
        </is>
      </c>
      <c r="B4" t="inlineStr">
        <is>
          <t>남</t>
        </is>
      </c>
      <c r="C4" t="inlineStr">
        <is>
          <t>흑팀</t>
        </is>
      </c>
      <c r="D4" t="inlineStr">
        <is>
          <t>최연수</t>
        </is>
      </c>
      <c r="E4" t="inlineStr"/>
      <c r="F4" t="inlineStr"/>
    </row>
    <row r="5">
      <c r="A5" t="inlineStr">
        <is>
          <t>최연수</t>
        </is>
      </c>
      <c r="B5" t="inlineStr">
        <is>
          <t>여</t>
        </is>
      </c>
      <c r="C5" t="inlineStr">
        <is>
          <t>백팀</t>
        </is>
      </c>
      <c r="D5" t="inlineStr">
        <is>
          <t>홍상웅</t>
        </is>
      </c>
      <c r="E5" t="inlineStr"/>
      <c r="F5" t="inlineStr"/>
    </row>
    <row r="6">
      <c r="A6" t="inlineStr">
        <is>
          <t>이재열</t>
        </is>
      </c>
      <c r="B6" t="inlineStr">
        <is>
          <t>남</t>
        </is>
      </c>
      <c r="C6" t="inlineStr">
        <is>
          <t>흑팀</t>
        </is>
      </c>
      <c r="D6" t="inlineStr">
        <is>
          <t>박지원</t>
        </is>
      </c>
      <c r="E6" t="inlineStr"/>
      <c r="F6" t="inlineStr"/>
    </row>
    <row r="7">
      <c r="A7" t="inlineStr">
        <is>
          <t>박지원</t>
        </is>
      </c>
      <c r="B7" t="inlineStr">
        <is>
          <t>여</t>
        </is>
      </c>
      <c r="C7" t="inlineStr">
        <is>
          <t>백팀</t>
        </is>
      </c>
      <c r="D7" t="inlineStr">
        <is>
          <t>이재열</t>
        </is>
      </c>
      <c r="E7" t="inlineStr"/>
      <c r="F7" t="inlineStr"/>
    </row>
    <row r="8">
      <c r="A8" t="inlineStr">
        <is>
          <t>송효준</t>
        </is>
      </c>
      <c r="B8" t="inlineStr">
        <is>
          <t>남</t>
        </is>
      </c>
      <c r="C8" t="inlineStr">
        <is>
          <t>흑팀</t>
        </is>
      </c>
      <c r="D8" t="inlineStr">
        <is>
          <t>전주현</t>
        </is>
      </c>
      <c r="E8" t="inlineStr"/>
      <c r="F8" t="inlineStr"/>
    </row>
    <row r="9">
      <c r="A9" t="inlineStr">
        <is>
          <t>전주현</t>
        </is>
      </c>
      <c r="B9" t="inlineStr">
        <is>
          <t>남</t>
        </is>
      </c>
      <c r="C9" t="inlineStr">
        <is>
          <t>백팀</t>
        </is>
      </c>
      <c r="D9" t="inlineStr">
        <is>
          <t>송효준</t>
        </is>
      </c>
      <c r="E9" t="inlineStr"/>
      <c r="F9" t="inlineStr"/>
    </row>
    <row r="10">
      <c r="A10" t="inlineStr">
        <is>
          <t>강이수</t>
        </is>
      </c>
      <c r="B10" t="inlineStr">
        <is>
          <t>남</t>
        </is>
      </c>
      <c r="C10" t="inlineStr">
        <is>
          <t>흑팀</t>
        </is>
      </c>
      <c r="D10" t="inlineStr">
        <is>
          <t>박시안</t>
        </is>
      </c>
      <c r="E10" t="inlineStr"/>
      <c r="F10" t="inlineStr"/>
    </row>
    <row r="11">
      <c r="A11" t="inlineStr">
        <is>
          <t>박시안</t>
        </is>
      </c>
      <c r="B11" t="inlineStr">
        <is>
          <t>여</t>
        </is>
      </c>
      <c r="C11" t="inlineStr">
        <is>
          <t>백팀</t>
        </is>
      </c>
      <c r="D11" t="inlineStr">
        <is>
          <t>강이수</t>
        </is>
      </c>
      <c r="E11" t="inlineStr"/>
      <c r="F11" t="inlineStr"/>
    </row>
    <row r="12">
      <c r="A12" t="inlineStr">
        <is>
          <t>박종혁</t>
        </is>
      </c>
      <c r="B12" t="inlineStr">
        <is>
          <t>남</t>
        </is>
      </c>
      <c r="C12" t="inlineStr">
        <is>
          <t>흑팀</t>
        </is>
      </c>
      <c r="D12" t="inlineStr">
        <is>
          <t>황은비</t>
        </is>
      </c>
      <c r="E12" t="inlineStr"/>
      <c r="F12" t="inlineStr"/>
    </row>
    <row r="13">
      <c r="A13" t="inlineStr">
        <is>
          <t>황은비</t>
        </is>
      </c>
      <c r="B13" t="inlineStr">
        <is>
          <t>여</t>
        </is>
      </c>
      <c r="C13" t="inlineStr">
        <is>
          <t>백팀</t>
        </is>
      </c>
      <c r="D13" t="inlineStr">
        <is>
          <t>박종혁</t>
        </is>
      </c>
      <c r="E13" t="inlineStr"/>
      <c r="F13" t="inlineStr"/>
    </row>
  </sheetData>
  <dataValidations count="6">
    <dataValidation sqref="A2:A13" showDropDown="0" showInputMessage="0" showErrorMessage="0" allowBlank="1" type="list">
      <formula1>=DB!$B$4:$M$4</formula1>
    </dataValidation>
    <dataValidation sqref="B2:B13" showDropDown="0" showInputMessage="0" showErrorMessage="0" allowBlank="1" type="list">
      <formula1>"남,여"</formula1>
    </dataValidation>
    <dataValidation sqref="C2:C13" showDropDown="0" showInputMessage="0" showErrorMessage="0" allowBlank="1" type="list">
      <formula1>"흑팀,백팀"</formula1>
    </dataValidation>
    <dataValidation sqref="D2:D13" showDropDown="0" showInputMessage="0" showErrorMessage="0" allowBlank="1" type="list">
      <formula1>=DB!$B$4:$M$4</formula1>
    </dataValidation>
    <dataValidation sqref="E2:E13" showDropDown="0" showInputMessage="0" showErrorMessage="0" allowBlank="1" type="list">
      <formula1>"1,2,3"</formula1>
    </dataValidation>
    <dataValidation sqref="F2:F13" showDropDown="0" showInputMessage="0" showErrorMessage="0" allowBlank="1" type="list">
      <formula1>=DB!$B$4:$M$4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40" customWidth="1" min="3" max="3"/>
    <col width="90" customWidth="1" min="5" max="5"/>
  </cols>
  <sheetData>
    <row r="1">
      <c r="A1" s="2" t="inlineStr">
        <is>
          <t>name</t>
        </is>
      </c>
      <c r="B1" s="2" t="inlineStr">
        <is>
          <t>pinHash</t>
        </is>
      </c>
      <c r="C1" s="2" t="inlineStr">
        <is>
          <t>salt</t>
        </is>
      </c>
      <c r="E1" t="inlineStr">
        <is>
          <t>⚠️ pinHash/salt는 앱이 자동으로 채웁니다. 직접 입력하지 마세요. PIN을 초기화하려면 해당 행의 pinHash/salt를 지우면 다음 로그인 때 재설정 화면이 뜹니다.</t>
        </is>
      </c>
    </row>
    <row r="2">
      <c r="A2" t="inlineStr">
        <is>
          <t>이학균</t>
        </is>
      </c>
      <c r="B2" t="inlineStr"/>
      <c r="C2" t="inlineStr"/>
    </row>
    <row r="3">
      <c r="A3" t="inlineStr">
        <is>
          <t>김여경</t>
        </is>
      </c>
      <c r="B3" t="inlineStr"/>
      <c r="C3" t="inlineStr"/>
    </row>
    <row r="4">
      <c r="A4" t="inlineStr">
        <is>
          <t>홍상웅</t>
        </is>
      </c>
      <c r="B4" t="inlineStr"/>
      <c r="C4" t="inlineStr"/>
    </row>
    <row r="5">
      <c r="A5" t="inlineStr">
        <is>
          <t>최연수</t>
        </is>
      </c>
      <c r="B5" t="inlineStr"/>
      <c r="C5" t="inlineStr"/>
    </row>
    <row r="6">
      <c r="A6" t="inlineStr">
        <is>
          <t>이재열</t>
        </is>
      </c>
      <c r="B6" t="inlineStr"/>
      <c r="C6" t="inlineStr"/>
    </row>
    <row r="7">
      <c r="A7" t="inlineStr">
        <is>
          <t>박지원</t>
        </is>
      </c>
      <c r="B7" t="inlineStr"/>
      <c r="C7" t="inlineStr"/>
    </row>
    <row r="8">
      <c r="A8" t="inlineStr">
        <is>
          <t>송효준</t>
        </is>
      </c>
      <c r="B8" t="inlineStr"/>
      <c r="C8" t="inlineStr"/>
    </row>
    <row r="9">
      <c r="A9" t="inlineStr">
        <is>
          <t>전주현</t>
        </is>
      </c>
      <c r="B9" t="inlineStr"/>
      <c r="C9" t="inlineStr"/>
    </row>
    <row r="10">
      <c r="A10" t="inlineStr">
        <is>
          <t>강이수</t>
        </is>
      </c>
      <c r="B10" t="inlineStr"/>
      <c r="C10" t="inlineStr"/>
    </row>
    <row r="11">
      <c r="A11" t="inlineStr">
        <is>
          <t>박시안</t>
        </is>
      </c>
      <c r="B11" t="inlineStr"/>
      <c r="C11" t="inlineStr"/>
    </row>
    <row r="12">
      <c r="A12" t="inlineStr">
        <is>
          <t>박종혁</t>
        </is>
      </c>
      <c r="B12" t="inlineStr"/>
      <c r="C12" t="inlineStr"/>
    </row>
    <row r="13">
      <c r="A13" t="inlineStr">
        <is>
          <t>황은비</t>
        </is>
      </c>
      <c r="B13" t="inlineStr"/>
      <c r="C13" t="inlineStr"/>
    </row>
  </sheetData>
  <dataValidations count="1">
    <dataValidation sqref="A2:A13" showDropDown="0" showInputMessage="0" showErrorMessage="0" allowBlank="1" type="list">
      <formula1>=DB!$B$4:$M$4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0" customWidth="1" min="4" max="4"/>
    <col width="90" customWidth="1" min="6" max="6"/>
  </cols>
  <sheetData>
    <row r="1">
      <c r="A1" s="2" t="inlineStr">
        <is>
          <t>name</t>
        </is>
      </c>
      <c r="B1" s="2" t="inlineStr">
        <is>
          <t>event</t>
        </is>
      </c>
      <c r="C1" s="2" t="inlineStr">
        <is>
          <t>note</t>
        </is>
      </c>
      <c r="D1" s="2" t="inlineStr">
        <is>
          <t>points</t>
        </is>
      </c>
      <c r="F1" t="inlineStr">
        <is>
          <t>⚠️ 이 시트는 앱에서 본인 것만 필터링되어 보여요(MVP/개인 등수 등). 팀 우승 판정에는 안 씀 — 그건 TeamScoreLog. '개인미션' event로 시작하는 행은 히든미션 성공 시 onEdit 트리거가 자동으로 추가한 것입니다.</t>
        </is>
      </c>
    </row>
  </sheetData>
  <dataValidations count="2">
    <dataValidation sqref="A2:A151" showDropDown="0" showInputMessage="0" showErrorMessage="0" allowBlank="1" type="list">
      <formula1>=DB!$B$4:$M$4</formula1>
    </dataValidation>
    <dataValidation sqref="B2:B151" showDropDown="0" showInputMessage="0" showErrorMessage="0" allowBlank="1" type="list">
      <formula1>=DB!$B$1:$M$1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0" customWidth="1" min="4" max="4"/>
    <col width="80" customWidth="1" min="6" max="6"/>
  </cols>
  <sheetData>
    <row r="1">
      <c r="A1" s="2" t="inlineStr">
        <is>
          <t>team</t>
        </is>
      </c>
      <c r="B1" s="2" t="inlineStr">
        <is>
          <t>event</t>
        </is>
      </c>
      <c r="C1" s="2" t="inlineStr">
        <is>
          <t>note</t>
        </is>
      </c>
      <c r="D1" s="2" t="inlineStr">
        <is>
          <t>points</t>
        </is>
      </c>
      <c r="F1" t="inlineStr">
        <is>
          <t>⚠️ 이 시트 합산으로 운동회 최종 우승팀이 정해집니다. 승리/패배 등 팀 단위 결과를 여기에 기록하세요.</t>
        </is>
      </c>
    </row>
  </sheetData>
  <dataValidations count="2">
    <dataValidation sqref="A2:A151" showDropDown="0" showInputMessage="0" showErrorMessage="0" allowBlank="1" type="list">
      <formula1>"흑팀,백팀"</formula1>
    </dataValidation>
    <dataValidation sqref="B2:B151" showDropDown="0" showInputMessage="0" showErrorMessage="0" allowBlank="1" type="list">
      <formula1>=DB!$B$1:$M$1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14" customWidth="1" min="4" max="4"/>
    <col width="20" customWidth="1" min="5" max="5"/>
    <col width="10" customWidth="1" min="6" max="6"/>
    <col width="100" customWidth="1" min="8" max="8"/>
  </cols>
  <sheetData>
    <row r="1">
      <c r="A1" s="2" t="inlineStr">
        <is>
          <t>missionId</t>
        </is>
      </c>
      <c r="B1" s="2" t="inlineStr">
        <is>
          <t>mission</t>
        </is>
      </c>
      <c r="C1" s="2" t="inlineStr">
        <is>
          <t>points</t>
        </is>
      </c>
      <c r="D1" s="2" t="inlineStr">
        <is>
          <t>claimedBy</t>
        </is>
      </c>
      <c r="E1" s="2" t="inlineStr">
        <is>
          <t>claimedAt</t>
        </is>
      </c>
      <c r="F1" s="2" t="inlineStr">
        <is>
          <t>status</t>
        </is>
      </c>
      <c r="H1" t="inlineStr">
        <is>
          <t>⚠️ mission 칸의 [파트너]/[네메시스]/[티어]는 그 칩을 가져간 사람의 Participants 값으로 자동 치환되어 화면에 표시됩니다 (이 시트엔 템플릿 그대로 둡니다). claimedBy/claimedAt/status는 앱이 QR 스캔 시 자동으로 채웁니다(status는 스캔 즉시 '진행중'). 실제로 미션을 해냈는지 확인한 뒤 status를 '성공' 또는 '실패'로 진행자가 직접 바꿔주세요 — '성공'인 칩의 points는 앱이 '내 점수'를 보여줄 때 이 시트에서 실시간으로 읽어와 자동 합산합니다 (따로 옮겨 적을 필요 없고, status를 나중에 정정해도 바로 반영됩니다). missionId는 QR코드에 인쇄되는 값이니 바꾸지 마세요.</t>
        </is>
      </c>
    </row>
    <row r="2">
      <c r="A2" t="inlineStr">
        <is>
          <t>M01</t>
        </is>
      </c>
      <c r="B2" t="inlineStr">
        <is>
          <t>오늘 처음 만난 사람과 하이파이브 5번 하기</t>
        </is>
      </c>
      <c r="C2" t="n">
        <v>10</v>
      </c>
      <c r="D2" t="inlineStr"/>
      <c r="E2" t="inlineStr"/>
      <c r="F2" t="inlineStr"/>
    </row>
    <row r="3">
      <c r="A3" t="inlineStr">
        <is>
          <t>M02</t>
        </is>
      </c>
      <c r="B3" t="inlineStr">
        <is>
          <t>진행자 몰래 셀카 찍고 보여주기</t>
        </is>
      </c>
      <c r="C3" t="n">
        <v>15</v>
      </c>
      <c r="D3" t="inlineStr"/>
      <c r="E3" t="inlineStr"/>
      <c r="F3" t="inlineStr"/>
    </row>
    <row r="4">
      <c r="A4" t="inlineStr">
        <is>
          <t>M03</t>
        </is>
      </c>
      <c r="B4" t="inlineStr">
        <is>
          <t>피구에서 [파트너] 맞춰서 아웃시키기</t>
        </is>
      </c>
      <c r="C4" t="n">
        <v>20</v>
      </c>
      <c r="D4" t="inlineStr"/>
      <c r="E4" t="inlineStr"/>
      <c r="F4" t="inlineStr"/>
    </row>
    <row r="5">
      <c r="A5" t="inlineStr">
        <is>
          <t>M04</t>
        </is>
      </c>
      <c r="B5" t="inlineStr">
        <is>
          <t>부리또 듀얼에서 [네메시스] 상대로 승리하기</t>
        </is>
      </c>
      <c r="C5" t="n">
        <v>25</v>
      </c>
      <c r="D5" t="inlineStr"/>
      <c r="E5" t="inlineStr"/>
      <c r="F5" t="inlineStr"/>
    </row>
    <row r="6">
      <c r="A6" t="inlineStr">
        <is>
          <t>M05</t>
        </is>
      </c>
      <c r="B6" t="inlineStr">
        <is>
          <t>발야구에서 [티어]루타 달성하기</t>
        </is>
      </c>
      <c r="C6" t="n">
        <v>20</v>
      </c>
      <c r="D6" t="inlineStr"/>
      <c r="E6" t="inlineStr"/>
      <c r="F6" t="inlineStr"/>
    </row>
    <row r="7">
      <c r="A7" t="inlineStr">
        <is>
          <t>M06</t>
        </is>
      </c>
      <c r="B7" t="inlineStr">
        <is>
          <t>돼지씨름 [티어]번 이기기</t>
        </is>
      </c>
      <c r="C7" t="n">
        <v>20</v>
      </c>
      <c r="D7" t="inlineStr"/>
      <c r="E7" t="inlineStr"/>
      <c r="F7" t="inlineStr"/>
    </row>
    <row r="8">
      <c r="A8" t="inlineStr">
        <is>
          <t>M07</t>
        </is>
      </c>
      <c r="B8" t="inlineStr">
        <is>
          <t>[네메시스]와 하이파이브하고 화해하기</t>
        </is>
      </c>
      <c r="C8" t="n">
        <v>15</v>
      </c>
      <c r="D8" t="inlineStr"/>
      <c r="E8" t="inlineStr"/>
      <c r="F8" t="inlineStr"/>
    </row>
    <row r="9">
      <c r="A9" t="inlineStr">
        <is>
          <t>M08</t>
        </is>
      </c>
      <c r="B9" t="inlineStr">
        <is>
          <t>[파트너]와 함께 사진찍기</t>
        </is>
      </c>
      <c r="C9" t="n">
        <v>10</v>
      </c>
      <c r="D9" t="inlineStr"/>
      <c r="E9" t="inlineStr"/>
      <c r="F9" t="inlineStr"/>
    </row>
  </sheetData>
  <dataValidations count="2">
    <dataValidation sqref="D2:D59" showDropDown="0" showInputMessage="0" showErrorMessage="0" allowBlank="1" type="list">
      <formula1>=DB!$B$4:$M$4</formula1>
    </dataValidation>
    <dataValidation sqref="F2:F59" showDropDown="0" showInputMessage="0" showErrorMessage="0" allowBlank="1" type="list">
      <formula1>"진행중,성공,실패"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2" t="inlineStr">
        <is>
          <t>team</t>
        </is>
      </c>
      <c r="B1" s="2" t="inlineStr">
        <is>
          <t>total_points</t>
        </is>
      </c>
    </row>
    <row r="2">
      <c r="A2" t="inlineStr">
        <is>
          <t>흑팀</t>
        </is>
      </c>
      <c r="B2">
        <f>SUMIF(TeamScoreLog!$A:$A,A2,TeamScoreLog!$D:$D)</f>
        <v/>
      </c>
    </row>
    <row r="3">
      <c r="A3" t="inlineStr">
        <is>
          <t>백팀</t>
        </is>
      </c>
      <c r="B3">
        <f>SUMIF(TeamScoreLog!$A:$A,A3,TeamScoreLog!$D:$D)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0" customWidth="1" min="4" max="4"/>
  </cols>
  <sheetData>
    <row r="1">
      <c r="A1" s="2" t="inlineStr">
        <is>
          <t>name</t>
        </is>
      </c>
      <c r="B1" s="2" t="inlineStr">
        <is>
          <t>total_points</t>
        </is>
      </c>
      <c r="D1" t="inlineStr">
        <is>
          <t>※ 진행자가 개인 시상(MVP 등) 정할 때 참고용. 앱에는 노출되지 않습니다. PersonalScoreLog 수동 입력분 + MissionChips에서 status가 '성공'인 칩의 points까지 합산됩니다.</t>
        </is>
      </c>
    </row>
    <row r="2">
      <c r="A2">
        <f>Participants!A2</f>
        <v/>
      </c>
      <c r="B2">
        <f>SUMIF(PersonalScoreLog!$A:$A,A2,PersonalScoreLog!$D:$D)+SUMIFS(MissionChips!$C:$C,MissionChips!$D:$D,A2,MissionChips!$F:$F,"성공")</f>
        <v/>
      </c>
    </row>
    <row r="3">
      <c r="A3">
        <f>Participants!A3</f>
        <v/>
      </c>
      <c r="B3">
        <f>SUMIF(PersonalScoreLog!$A:$A,A3,PersonalScoreLog!$D:$D)+SUMIFS(MissionChips!$C:$C,MissionChips!$D:$D,A3,MissionChips!$F:$F,"성공")</f>
        <v/>
      </c>
    </row>
    <row r="4">
      <c r="A4">
        <f>Participants!A4</f>
        <v/>
      </c>
      <c r="B4">
        <f>SUMIF(PersonalScoreLog!$A:$A,A4,PersonalScoreLog!$D:$D)+SUMIFS(MissionChips!$C:$C,MissionChips!$D:$D,A4,MissionChips!$F:$F,"성공")</f>
        <v/>
      </c>
    </row>
    <row r="5">
      <c r="A5">
        <f>Participants!A5</f>
        <v/>
      </c>
      <c r="B5">
        <f>SUMIF(PersonalScoreLog!$A:$A,A5,PersonalScoreLog!$D:$D)+SUMIFS(MissionChips!$C:$C,MissionChips!$D:$D,A5,MissionChips!$F:$F,"성공")</f>
        <v/>
      </c>
    </row>
    <row r="6">
      <c r="A6">
        <f>Participants!A6</f>
        <v/>
      </c>
      <c r="B6">
        <f>SUMIF(PersonalScoreLog!$A:$A,A6,PersonalScoreLog!$D:$D)+SUMIFS(MissionChips!$C:$C,MissionChips!$D:$D,A6,MissionChips!$F:$F,"성공")</f>
        <v/>
      </c>
    </row>
    <row r="7">
      <c r="A7">
        <f>Participants!A7</f>
        <v/>
      </c>
      <c r="B7">
        <f>SUMIF(PersonalScoreLog!$A:$A,A7,PersonalScoreLog!$D:$D)+SUMIFS(MissionChips!$C:$C,MissionChips!$D:$D,A7,MissionChips!$F:$F,"성공")</f>
        <v/>
      </c>
    </row>
    <row r="8">
      <c r="A8">
        <f>Participants!A8</f>
        <v/>
      </c>
      <c r="B8">
        <f>SUMIF(PersonalScoreLog!$A:$A,A8,PersonalScoreLog!$D:$D)+SUMIFS(MissionChips!$C:$C,MissionChips!$D:$D,A8,MissionChips!$F:$F,"성공")</f>
        <v/>
      </c>
    </row>
    <row r="9">
      <c r="A9">
        <f>Participants!A9</f>
        <v/>
      </c>
      <c r="B9">
        <f>SUMIF(PersonalScoreLog!$A:$A,A9,PersonalScoreLog!$D:$D)+SUMIFS(MissionChips!$C:$C,MissionChips!$D:$D,A9,MissionChips!$F:$F,"성공")</f>
        <v/>
      </c>
    </row>
    <row r="10">
      <c r="A10">
        <f>Participants!A10</f>
        <v/>
      </c>
      <c r="B10">
        <f>SUMIF(PersonalScoreLog!$A:$A,A10,PersonalScoreLog!$D:$D)+SUMIFS(MissionChips!$C:$C,MissionChips!$D:$D,A10,MissionChips!$F:$F,"성공")</f>
        <v/>
      </c>
    </row>
    <row r="11">
      <c r="A11">
        <f>Participants!A11</f>
        <v/>
      </c>
      <c r="B11">
        <f>SUMIF(PersonalScoreLog!$A:$A,A11,PersonalScoreLog!$D:$D)+SUMIFS(MissionChips!$C:$C,MissionChips!$D:$D,A11,MissionChips!$F:$F,"성공")</f>
        <v/>
      </c>
    </row>
    <row r="12">
      <c r="A12">
        <f>Participants!A12</f>
        <v/>
      </c>
      <c r="B12">
        <f>SUMIF(PersonalScoreLog!$A:$A,A12,PersonalScoreLog!$D:$D)+SUMIFS(MissionChips!$C:$C,MissionChips!$D:$D,A12,MissionChips!$F:$F,"성공")</f>
        <v/>
      </c>
    </row>
    <row r="13">
      <c r="A13">
        <f>Participants!A13</f>
        <v/>
      </c>
      <c r="B13">
        <f>SUMIF(PersonalScoreLog!$A:$A,A13,PersonalScoreLog!$D:$D)+SUMIFS(MissionChips!$C:$C,MissionChips!$D:$D,A13,MissionChips!$F:$F,"성공")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2026-08-27T04:46:09Z</dcterms:created>
  <dcterms:modified xsi:type="dcterms:W3CDTF">2026-08-27T04:46:09Z</dcterms:modified>
</cp:coreProperties>
</file>